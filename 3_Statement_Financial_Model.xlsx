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ils\Desktop\Projects\"/>
    </mc:Choice>
  </mc:AlternateContent>
  <xr:revisionPtr revIDLastSave="0" documentId="13_ncr:1_{7025258E-8C3D-443E-8713-6BC01CBFB6FA}" xr6:coauthVersionLast="47" xr6:coauthVersionMax="47" xr10:uidLastSave="{00000000-0000-0000-0000-000000000000}"/>
  <bookViews>
    <workbookView xWindow="-28920" yWindow="-45" windowWidth="29040" windowHeight="15720" activeTab="1" xr2:uid="{00000000-000D-0000-FFFF-FFFF00000000}"/>
  </bookViews>
  <sheets>
    <sheet name="Assumptions" sheetId="1" r:id="rId1"/>
    <sheet name="Income Statement" sheetId="2" r:id="rId2"/>
    <sheet name="Cash Flow" sheetId="3" r:id="rId3"/>
    <sheet name="Balance Sheet" sheetId="4" r:id="rId4"/>
    <sheet name="Annual db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5" l="1"/>
  <c r="D2" i="5"/>
  <c r="N3" i="2"/>
  <c r="N4" i="2"/>
  <c r="N5" i="2"/>
  <c r="N6" i="2"/>
  <c r="N7" i="2"/>
  <c r="N8" i="2"/>
  <c r="N9" i="2"/>
  <c r="N2" i="2"/>
  <c r="B2" i="5"/>
  <c r="A2" i="5"/>
  <c r="B2" i="4"/>
  <c r="C6" i="3"/>
  <c r="D6" i="3"/>
  <c r="E6" i="3"/>
  <c r="F6" i="3"/>
  <c r="G6" i="3"/>
  <c r="H6" i="3"/>
  <c r="I6" i="3"/>
  <c r="J6" i="3"/>
  <c r="K6" i="3"/>
  <c r="L6" i="3"/>
  <c r="M6" i="3"/>
  <c r="B5" i="4"/>
  <c r="B4" i="4"/>
  <c r="B3" i="4"/>
  <c r="B6" i="3"/>
  <c r="C4" i="3"/>
  <c r="D4" i="3"/>
  <c r="E4" i="3"/>
  <c r="F4" i="3"/>
  <c r="G4" i="3"/>
  <c r="H4" i="3"/>
  <c r="I4" i="3"/>
  <c r="J4" i="3"/>
  <c r="K4" i="3"/>
  <c r="L4" i="3"/>
  <c r="M4" i="3"/>
  <c r="B4" i="3"/>
  <c r="C5" i="3"/>
  <c r="D5" i="3"/>
  <c r="E5" i="3"/>
  <c r="F5" i="3"/>
  <c r="G5" i="3"/>
  <c r="H5" i="3"/>
  <c r="I5" i="3"/>
  <c r="J5" i="3"/>
  <c r="K5" i="3"/>
  <c r="L5" i="3"/>
  <c r="M5" i="3"/>
  <c r="B5" i="3"/>
  <c r="C2" i="3"/>
  <c r="D2" i="3"/>
  <c r="E2" i="3"/>
  <c r="F2" i="3"/>
  <c r="G2" i="3"/>
  <c r="H2" i="3"/>
  <c r="I2" i="3"/>
  <c r="J2" i="3"/>
  <c r="K2" i="3"/>
  <c r="L2" i="3"/>
  <c r="M2" i="3"/>
  <c r="C9" i="2"/>
  <c r="D9" i="2"/>
  <c r="E9" i="2"/>
  <c r="F9" i="2"/>
  <c r="G9" i="2"/>
  <c r="H9" i="2"/>
  <c r="I9" i="2"/>
  <c r="J9" i="2"/>
  <c r="K9" i="2"/>
  <c r="L9" i="2"/>
  <c r="M9" i="2"/>
  <c r="M8" i="2"/>
  <c r="L8" i="2"/>
  <c r="K8" i="2"/>
  <c r="J8" i="2"/>
  <c r="I8" i="2"/>
  <c r="H8" i="2"/>
  <c r="G8" i="2"/>
  <c r="F8" i="2"/>
  <c r="E8" i="2"/>
  <c r="D8" i="2"/>
  <c r="D2" i="2"/>
  <c r="C8" i="2"/>
  <c r="B8" i="2"/>
  <c r="C7" i="2"/>
  <c r="C5" i="2"/>
  <c r="D4" i="2"/>
  <c r="C4" i="2"/>
  <c r="D3" i="2"/>
  <c r="D5" i="2" s="1"/>
  <c r="C3" i="2"/>
  <c r="E2" i="2"/>
  <c r="F2" i="2" s="1"/>
  <c r="C2" i="2"/>
  <c r="M3" i="3"/>
  <c r="L3" i="3"/>
  <c r="K3" i="3"/>
  <c r="J3" i="3"/>
  <c r="I3" i="3"/>
  <c r="H3" i="3"/>
  <c r="G3" i="3"/>
  <c r="F3" i="3"/>
  <c r="E3" i="3"/>
  <c r="D3" i="3"/>
  <c r="C3" i="3"/>
  <c r="B3" i="3"/>
  <c r="M6" i="2"/>
  <c r="L6" i="2"/>
  <c r="K6" i="2"/>
  <c r="J6" i="2"/>
  <c r="I6" i="2"/>
  <c r="H6" i="2"/>
  <c r="G6" i="2"/>
  <c r="F6" i="2"/>
  <c r="E6" i="2"/>
  <c r="D6" i="2"/>
  <c r="C6" i="2"/>
  <c r="B6" i="2"/>
  <c r="B3" i="2"/>
  <c r="B2" i="2"/>
  <c r="E3" i="2" l="1"/>
  <c r="E7" i="2" s="1"/>
  <c r="E4" i="2"/>
  <c r="F3" i="2"/>
  <c r="F7" i="2" s="1"/>
  <c r="F4" i="2"/>
  <c r="G2" i="2"/>
  <c r="D7" i="2"/>
  <c r="B9" i="2"/>
  <c r="B4" i="2"/>
  <c r="B7" i="2"/>
  <c r="E5" i="2" l="1"/>
  <c r="G3" i="2"/>
  <c r="G4" i="2"/>
  <c r="H2" i="2"/>
  <c r="F5" i="2"/>
  <c r="B2" i="3"/>
  <c r="B5" i="2"/>
  <c r="G5" i="2" l="1"/>
  <c r="G7" i="2"/>
  <c r="H3" i="2"/>
  <c r="H7" i="2" s="1"/>
  <c r="H4" i="2"/>
  <c r="H5" i="2"/>
  <c r="I2" i="2"/>
  <c r="I3" i="2" l="1"/>
  <c r="I7" i="2" s="1"/>
  <c r="I4" i="2"/>
  <c r="J2" i="2"/>
  <c r="I5" i="2" l="1"/>
  <c r="J3" i="2"/>
  <c r="J7" i="2" s="1"/>
  <c r="J4" i="2"/>
  <c r="K2" i="2"/>
  <c r="J5" i="2" l="1"/>
  <c r="K3" i="2"/>
  <c r="K7" i="2" s="1"/>
  <c r="K4" i="2"/>
  <c r="L2" i="2"/>
  <c r="K5" i="2"/>
  <c r="L4" i="2" l="1"/>
  <c r="M2" i="2"/>
  <c r="L3" i="2"/>
  <c r="L5" i="2" s="1"/>
  <c r="L7" i="2" l="1"/>
  <c r="M4" i="2"/>
  <c r="M3" i="2"/>
  <c r="M5" i="2" s="1"/>
  <c r="M7" i="2" l="1"/>
</calcChain>
</file>

<file path=xl/sharedStrings.xml><?xml version="1.0" encoding="utf-8"?>
<sst xmlns="http://schemas.openxmlformats.org/spreadsheetml/2006/main" count="61" uniqueCount="46">
  <si>
    <t>Assumption</t>
  </si>
  <si>
    <t>Value</t>
  </si>
  <si>
    <t>Starting Monthly Revenue</t>
  </si>
  <si>
    <t>Monthly Growth Rate</t>
  </si>
  <si>
    <t>COGS % of Revenue</t>
  </si>
  <si>
    <t>Operating Expenses % of Revenue</t>
  </si>
  <si>
    <t>Monthly Depreciation</t>
  </si>
  <si>
    <t>Tax Rate</t>
  </si>
  <si>
    <t>Receivable Days</t>
  </si>
  <si>
    <t>Payable Days</t>
  </si>
  <si>
    <t>Month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</si>
  <si>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</si>
  <si>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</si>
  <si>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</si>
  <si>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</si>
  <si>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</si>
  <si>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</si>
  <si>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</si>
  <si>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</si>
  <si>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</si>
  <si>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</si>
  <si>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</si>
  <si>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</si>
  <si>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Revenue</t>
  </si>
  <si>
    <t>COGS</t>
  </si>
  <si>
    <t>Operating Expenses</t>
  </si>
  <si>
    <t>EBITDA</t>
  </si>
  <si>
    <t>Depreciation</t>
  </si>
  <si>
    <t>EBIT</t>
  </si>
  <si>
    <t>Tax</t>
  </si>
  <si>
    <t>Net Profit</t>
  </si>
  <si>
    <t>Change in Receivables</t>
  </si>
  <si>
    <t>Change in Payables</t>
  </si>
  <si>
    <t>Operating Cash Flow</t>
  </si>
  <si>
    <t>Item</t>
  </si>
  <si>
    <t>Amount</t>
  </si>
  <si>
    <t>Cash</t>
  </si>
  <si>
    <t>Receivables</t>
  </si>
  <si>
    <t>Payables</t>
  </si>
  <si>
    <t>Equity</t>
  </si>
  <si>
    <t xml:space="preserve">   </t>
  </si>
  <si>
    <t>Total Revenue</t>
  </si>
  <si>
    <t>Total Net Profit</t>
  </si>
  <si>
    <t>Total OCF</t>
  </si>
  <si>
    <t>Total</t>
  </si>
  <si>
    <t>EBIDTA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</si>
</sst>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9" fontId="2" fillId="0" borderId="1" xfId="1" applyFont="1" applyBorder="1"/>
    <xf numFmtId="1" fontId="0" fillId="0" borderId="1" xfId="0" applyNumberFormat="1" applyBorder="1"/>
    <xf numFmtId="1" fontId="0" fillId="0" borderId="0" xfId="0" applyNumberForma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0" fillId="0" borderId="5" xfId="0" applyBorder="1"/>
    <xf numFmtId="1" fontId="0" fillId="0" borderId="6" xfId="0" applyNumberFormat="1" applyBorder="1"/>
    <xf numFmtId="0" fontId="0" fillId="0" borderId="7" xfId="0" applyBorder="1"/>
    <xf numFmtId="1" fontId="0" fillId="0" borderId="8" xfId="0" applyNumberFormat="1" applyBorder="1"/>
    <xf numFmtId="1" fontId="0" fillId="0" borderId="9" xfId="0" applyNumberFormat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9" fontId="2" fillId="0" borderId="6" xfId="1" applyFont="1" applyBorder="1"/>
    <xf numFmtId="0" fontId="2" fillId="0" borderId="7" xfId="0" applyFont="1" applyBorder="1"/>
    <xf numFmtId="0" fontId="2" fillId="0" borderId="9" xfId="0" applyFont="1" applyBorder="1"/>
    <xf numFmtId="0" fontId="3" fillId="0" borderId="1" xfId="0" applyFont="1" applyBorder="1"/>
    <xf numFmtId="44" fontId="2" fillId="0" borderId="1" xfId="2" applyFont="1" applyBorder="1"/>
    <xf numFmtId="44" fontId="0" fillId="0" borderId="0" xfId="0" applyNumberFormat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3" sqref="B3"/>
    </sheetView>
  </sheetViews>
  <sheetFormatPr defaultRowHeight="14.4" x14ac:dyDescent="0.3"/>
  <cols>
    <col min="1" max="1" width="33" bestFit="1" customWidth="1"/>
  </cols>
  <sheetData>
    <row r="1" spans="1:2" ht="15.6" x14ac:dyDescent="0.3">
      <c r="A1" s="14" t="s">
        <v>0</v>
      </c>
      <c r="B1" s="16" t="s">
        <v>1</v>
      </c>
    </row>
    <row r="2" spans="1:2" ht="15.6" x14ac:dyDescent="0.3">
      <c r="A2" s="17" t="s">
        <v>2</v>
      </c>
      <c r="B2" s="18">
        <v>1000000</v>
      </c>
    </row>
    <row r="3" spans="1:2" ht="15.6" x14ac:dyDescent="0.3">
      <c r="A3" s="17" t="s">
        <v>3</v>
      </c>
      <c r="B3" s="19">
        <v>0.05</v>
      </c>
    </row>
    <row r="4" spans="1:2" ht="15.6" x14ac:dyDescent="0.3">
      <c r="A4" s="17" t="s">
        <v>4</v>
      </c>
      <c r="B4" s="19">
        <v>0.3</v>
      </c>
    </row>
    <row r="5" spans="1:2" ht="15.6" x14ac:dyDescent="0.3">
      <c r="A5" s="17" t="s">
        <v>5</v>
      </c>
      <c r="B5" s="19">
        <v>0.25</v>
      </c>
    </row>
    <row r="6" spans="1:2" ht="15.6" x14ac:dyDescent="0.3">
      <c r="A6" s="17" t="s">
        <v>6</v>
      </c>
      <c r="B6" s="18">
        <v>20000</v>
      </c>
    </row>
    <row r="7" spans="1:2" ht="15.6" x14ac:dyDescent="0.3">
      <c r="A7" s="17" t="s">
        <v>7</v>
      </c>
      <c r="B7" s="19">
        <v>0.25</v>
      </c>
    </row>
    <row r="8" spans="1:2" ht="15.6" x14ac:dyDescent="0.3">
      <c r="A8" s="17" t="s">
        <v>8</v>
      </c>
      <c r="B8" s="18">
        <v>30</v>
      </c>
    </row>
    <row r="9" spans="1:2" ht="16.2" thickBot="1" x14ac:dyDescent="0.35">
      <c r="A9" s="20" t="s">
        <v>9</v>
      </c>
      <c r="B9" s="21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tabSelected="1" zoomScale="142" zoomScaleNormal="142" workbookViewId="0">
      <selection activeCell="G23" sqref="G23"/>
    </sheetView>
  </sheetViews>
  <sheetFormatPr defaultRowHeight="14.4" x14ac:dyDescent="0.3"/>
  <cols>
    <col min="1" max="1" width="18.33203125" bestFit="1" customWidth="1"/>
    <col min="2" max="2" width="10.6640625" customWidth="1"/>
    <col min="3" max="3" width="9.88671875" customWidth="1"/>
    <col min="4" max="4" width="10.44140625" customWidth="1"/>
    <col min="6" max="6" width="10.5546875" bestFit="1" customWidth="1"/>
    <col min="7" max="13" width="10" bestFit="1" customWidth="1"/>
    <col min="14" max="14" width="13.77734375" customWidth="1"/>
  </cols>
  <sheetData>
    <row r="1" spans="1:14" ht="15.6" x14ac:dyDescent="0.3">
      <c r="A1" s="14" t="s">
        <v>10</v>
      </c>
      <c r="B1" s="15" t="s">
        <v>11</v>
      </c>
      <c r="C1" s="15" t="s">
        <v>12</v>
      </c>
      <c r="D1" s="15" t="s">
        <v>13</v>
      </c>
      <c r="E1" s="15" t="s">
        <v>14</v>
      </c>
      <c r="F1" s="15" t="s">
        <v>15</v>
      </c>
      <c r="G1" s="15" t="s">
        <v>16</v>
      </c>
      <c r="H1" s="15" t="s">
        <v>17</v>
      </c>
      <c r="I1" s="15" t="s">
        <v>18</v>
      </c>
      <c r="J1" s="15" t="s">
        <v>19</v>
      </c>
      <c r="K1" s="15" t="s">
        <v>20</v>
      </c>
      <c r="L1" s="15" t="s">
        <v>21</v>
      </c>
      <c r="M1" s="16" t="s">
        <v>22</v>
      </c>
      <c r="N1" s="16" t="s">
        <v>44</v>
      </c>
    </row>
    <row r="2" spans="1:14" x14ac:dyDescent="0.3">
      <c r="A2" s="9" t="s">
        <v>23</v>
      </c>
      <c r="B2" s="3">
        <f>Assumptions!B2</f>
        <v>1000000</v>
      </c>
      <c r="C2" s="3">
        <f>B2*(1+Assumptions!B3)</f>
        <v>1050000</v>
      </c>
      <c r="D2" s="3">
        <f>C2*(1+Assumptions!B3)</f>
        <v>1102500</v>
      </c>
      <c r="E2" s="3">
        <f>D2*(1+Assumptions!B3)</f>
        <v>1157625</v>
      </c>
      <c r="F2" s="3">
        <f>E2*(1+Assumptions!B3)</f>
        <v>1215506.25</v>
      </c>
      <c r="G2" s="3">
        <f>F2*(1+Assumptions!B3)</f>
        <v>1276281.5625</v>
      </c>
      <c r="H2" s="3">
        <f>G2*(1+Assumptions!B3)</f>
        <v>1340095.640625</v>
      </c>
      <c r="I2" s="3">
        <f>H2*(1+Assumptions!B3)</f>
        <v>1407100.42265625</v>
      </c>
      <c r="J2" s="3">
        <f>I2*(1+Assumptions!B3)</f>
        <v>1477455.4437890626</v>
      </c>
      <c r="K2" s="3">
        <f>J2*(1+Assumptions!B3)</f>
        <v>1551328.2159785158</v>
      </c>
      <c r="L2" s="3">
        <f>K2*(1+Assumptions!B3)</f>
        <v>1628894.6267774417</v>
      </c>
      <c r="M2" s="10">
        <f>L2*(1+Assumptions!B3)</f>
        <v>1710339.3581163138</v>
      </c>
      <c r="N2" s="4">
        <f>SUM(B2:M2)</f>
        <v>15917126.520442585</v>
      </c>
    </row>
    <row r="3" spans="1:14" x14ac:dyDescent="0.3">
      <c r="A3" s="9" t="s">
        <v>24</v>
      </c>
      <c r="B3" s="3">
        <f>B2*Assumptions!B4</f>
        <v>300000</v>
      </c>
      <c r="C3" s="3">
        <f>C2*Assumptions!B4</f>
        <v>315000</v>
      </c>
      <c r="D3" s="3">
        <f>D2*Assumptions!B4</f>
        <v>330750</v>
      </c>
      <c r="E3" s="3">
        <f>E2*Assumptions!B4</f>
        <v>347287.5</v>
      </c>
      <c r="F3" s="3">
        <f>F2*Assumptions!B4</f>
        <v>364651.875</v>
      </c>
      <c r="G3" s="3">
        <f>G2*Assumptions!B4</f>
        <v>382884.46875</v>
      </c>
      <c r="H3" s="3">
        <f>H2*Assumptions!B4</f>
        <v>402028.69218750001</v>
      </c>
      <c r="I3" s="3">
        <f>I2*Assumptions!B4</f>
        <v>422130.12679687497</v>
      </c>
      <c r="J3" s="3">
        <f>J2*Assumptions!B4</f>
        <v>443236.63313671877</v>
      </c>
      <c r="K3" s="3">
        <f>K2*Assumptions!B4</f>
        <v>465398.46479355474</v>
      </c>
      <c r="L3" s="3">
        <f>L2*Assumptions!B4</f>
        <v>488668.38803323248</v>
      </c>
      <c r="M3" s="10">
        <f>M2*Assumptions!B4</f>
        <v>513101.80743489414</v>
      </c>
      <c r="N3" s="4">
        <f t="shared" ref="N3:N9" si="0">SUM(B3:M3)</f>
        <v>4775137.9561327752</v>
      </c>
    </row>
    <row r="4" spans="1:14" x14ac:dyDescent="0.3">
      <c r="A4" s="9" t="s">
        <v>25</v>
      </c>
      <c r="B4" s="3">
        <f>B2*Assumptions!B5</f>
        <v>250000</v>
      </c>
      <c r="C4" s="3">
        <f>C2*Assumptions!B5</f>
        <v>262500</v>
      </c>
      <c r="D4" s="3">
        <f>D2*Assumptions!B5</f>
        <v>275625</v>
      </c>
      <c r="E4" s="3">
        <f>E2*Assumptions!B5</f>
        <v>289406.25</v>
      </c>
      <c r="F4" s="3">
        <f>F2*Assumptions!B5</f>
        <v>303876.5625</v>
      </c>
      <c r="G4" s="3">
        <f>G2*Assumptions!B5</f>
        <v>319070.390625</v>
      </c>
      <c r="H4" s="3">
        <f>H2*Assumptions!B5</f>
        <v>335023.91015625</v>
      </c>
      <c r="I4" s="3">
        <f>I2*Assumptions!B5</f>
        <v>351775.10566406249</v>
      </c>
      <c r="J4" s="3">
        <f>J2*Assumptions!B5</f>
        <v>369363.86094726564</v>
      </c>
      <c r="K4" s="3">
        <f>K2*Assumptions!B5</f>
        <v>387832.05399462895</v>
      </c>
      <c r="L4" s="3">
        <f>L2*Assumptions!B5</f>
        <v>407223.65669436043</v>
      </c>
      <c r="M4" s="10">
        <f>M2*Assumptions!B5</f>
        <v>427584.83952907845</v>
      </c>
      <c r="N4" s="4">
        <f t="shared" si="0"/>
        <v>3979281.6301106461</v>
      </c>
    </row>
    <row r="5" spans="1:14" x14ac:dyDescent="0.3">
      <c r="A5" s="9" t="s">
        <v>26</v>
      </c>
      <c r="B5" s="3">
        <f>B2-B3-B4</f>
        <v>450000</v>
      </c>
      <c r="C5" s="3">
        <f>C2-C3-C4</f>
        <v>472500</v>
      </c>
      <c r="D5" s="3">
        <f t="shared" ref="D5:M5" si="1">D2-D3-D4</f>
        <v>496125</v>
      </c>
      <c r="E5" s="3">
        <f t="shared" si="1"/>
        <v>520931.25</v>
      </c>
      <c r="F5" s="3">
        <f t="shared" si="1"/>
        <v>546977.8125</v>
      </c>
      <c r="G5" s="3">
        <f t="shared" si="1"/>
        <v>574326.703125</v>
      </c>
      <c r="H5" s="3">
        <f t="shared" si="1"/>
        <v>603043.03828125005</v>
      </c>
      <c r="I5" s="3">
        <f t="shared" si="1"/>
        <v>633195.19019531249</v>
      </c>
      <c r="J5" s="3">
        <f t="shared" si="1"/>
        <v>664854.94970507815</v>
      </c>
      <c r="K5" s="3">
        <f t="shared" si="1"/>
        <v>698097.69719033211</v>
      </c>
      <c r="L5" s="3">
        <f t="shared" si="1"/>
        <v>733002.58204984886</v>
      </c>
      <c r="M5" s="10">
        <f t="shared" si="1"/>
        <v>769652.71115234122</v>
      </c>
      <c r="N5" s="4">
        <f t="shared" si="0"/>
        <v>7162706.9341991628</v>
      </c>
    </row>
    <row r="6" spans="1:14" x14ac:dyDescent="0.3">
      <c r="A6" s="9" t="s">
        <v>27</v>
      </c>
      <c r="B6" s="3">
        <f>Assumptions!B6</f>
        <v>20000</v>
      </c>
      <c r="C6" s="3">
        <f>Assumptions!B6</f>
        <v>20000</v>
      </c>
      <c r="D6" s="3">
        <f>Assumptions!B6</f>
        <v>20000</v>
      </c>
      <c r="E6" s="3">
        <f>Assumptions!B6</f>
        <v>20000</v>
      </c>
      <c r="F6" s="3">
        <f>Assumptions!B6</f>
        <v>20000</v>
      </c>
      <c r="G6" s="3">
        <f>Assumptions!B6</f>
        <v>20000</v>
      </c>
      <c r="H6" s="3">
        <f>Assumptions!B6</f>
        <v>20000</v>
      </c>
      <c r="I6" s="3">
        <f>Assumptions!B6</f>
        <v>20000</v>
      </c>
      <c r="J6" s="3">
        <f>Assumptions!B6</f>
        <v>20000</v>
      </c>
      <c r="K6" s="3">
        <f>Assumptions!B6</f>
        <v>20000</v>
      </c>
      <c r="L6" s="3">
        <f>Assumptions!B6</f>
        <v>20000</v>
      </c>
      <c r="M6" s="10">
        <f>Assumptions!B6</f>
        <v>20000</v>
      </c>
      <c r="N6" s="4">
        <f t="shared" si="0"/>
        <v>240000</v>
      </c>
    </row>
    <row r="7" spans="1:14" x14ac:dyDescent="0.3">
      <c r="A7" s="9" t="s">
        <v>28</v>
      </c>
      <c r="B7" s="3">
        <f>B2-B3</f>
        <v>700000</v>
      </c>
      <c r="C7" s="3">
        <f t="shared" ref="C7:M7" si="2">C2-C3</f>
        <v>735000</v>
      </c>
      <c r="D7" s="3">
        <f t="shared" si="2"/>
        <v>771750</v>
      </c>
      <c r="E7" s="3">
        <f t="shared" si="2"/>
        <v>810337.5</v>
      </c>
      <c r="F7" s="3">
        <f t="shared" si="2"/>
        <v>850854.375</v>
      </c>
      <c r="G7" s="3">
        <f t="shared" si="2"/>
        <v>893397.09375</v>
      </c>
      <c r="H7" s="3">
        <f t="shared" si="2"/>
        <v>938066.94843750005</v>
      </c>
      <c r="I7" s="3">
        <f t="shared" si="2"/>
        <v>984970.29585937504</v>
      </c>
      <c r="J7" s="3">
        <f t="shared" si="2"/>
        <v>1034218.8106523438</v>
      </c>
      <c r="K7" s="3">
        <f t="shared" si="2"/>
        <v>1085929.7511849611</v>
      </c>
      <c r="L7" s="3">
        <f t="shared" si="2"/>
        <v>1140226.2387442093</v>
      </c>
      <c r="M7" s="10">
        <f t="shared" si="2"/>
        <v>1197237.5506814197</v>
      </c>
      <c r="N7" s="4">
        <f t="shared" si="0"/>
        <v>11141988.564309807</v>
      </c>
    </row>
    <row r="8" spans="1:14" x14ac:dyDescent="0.3">
      <c r="A8" s="9" t="s">
        <v>29</v>
      </c>
      <c r="B8" s="3">
        <f>B2*(Assumptions!B7)</f>
        <v>250000</v>
      </c>
      <c r="C8" s="3">
        <f>C2*Assumptions!B7</f>
        <v>262500</v>
      </c>
      <c r="D8" s="3">
        <f>D2*Assumptions!B7</f>
        <v>275625</v>
      </c>
      <c r="E8" s="3">
        <f>E2*Assumptions!B7</f>
        <v>289406.25</v>
      </c>
      <c r="F8" s="3">
        <f>F2*Assumptions!B7</f>
        <v>303876.5625</v>
      </c>
      <c r="G8" s="3">
        <f>G2*Assumptions!B7</f>
        <v>319070.390625</v>
      </c>
      <c r="H8" s="3">
        <f>H2*Assumptions!B7</f>
        <v>335023.91015625</v>
      </c>
      <c r="I8" s="3">
        <f>I2*Assumptions!B7</f>
        <v>351775.10566406249</v>
      </c>
      <c r="J8" s="3">
        <f>J2*Assumptions!B7</f>
        <v>369363.86094726564</v>
      </c>
      <c r="K8" s="3">
        <f>K2*Assumptions!B7</f>
        <v>387832.05399462895</v>
      </c>
      <c r="L8" s="3">
        <f>L2*Assumptions!B7</f>
        <v>407223.65669436043</v>
      </c>
      <c r="M8" s="10">
        <f>M2*Assumptions!B7</f>
        <v>427584.83952907845</v>
      </c>
      <c r="N8" s="4">
        <f t="shared" si="0"/>
        <v>3979281.6301106461</v>
      </c>
    </row>
    <row r="9" spans="1:14" ht="15" thickBot="1" x14ac:dyDescent="0.35">
      <c r="A9" s="11" t="s">
        <v>30</v>
      </c>
      <c r="B9" s="12">
        <f>B2-B3</f>
        <v>700000</v>
      </c>
      <c r="C9" s="12">
        <f t="shared" ref="C9:M9" si="3">C2-C3</f>
        <v>735000</v>
      </c>
      <c r="D9" s="12">
        <f t="shared" si="3"/>
        <v>771750</v>
      </c>
      <c r="E9" s="12">
        <f t="shared" si="3"/>
        <v>810337.5</v>
      </c>
      <c r="F9" s="12">
        <f t="shared" si="3"/>
        <v>850854.375</v>
      </c>
      <c r="G9" s="12">
        <f t="shared" si="3"/>
        <v>893397.09375</v>
      </c>
      <c r="H9" s="12">
        <f t="shared" si="3"/>
        <v>938066.94843750005</v>
      </c>
      <c r="I9" s="12">
        <f t="shared" si="3"/>
        <v>984970.29585937504</v>
      </c>
      <c r="J9" s="12">
        <f t="shared" si="3"/>
        <v>1034218.8106523438</v>
      </c>
      <c r="K9" s="12">
        <f t="shared" si="3"/>
        <v>1085929.7511849611</v>
      </c>
      <c r="L9" s="12">
        <f t="shared" si="3"/>
        <v>1140226.2387442093</v>
      </c>
      <c r="M9" s="13">
        <f t="shared" si="3"/>
        <v>1197237.5506814197</v>
      </c>
      <c r="N9" s="4">
        <f t="shared" si="0"/>
        <v>11141988.564309807</v>
      </c>
    </row>
    <row r="14" spans="1:14" x14ac:dyDescent="0.3">
      <c r="C14" t="s">
        <v>40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"/>
  <sheetViews>
    <sheetView workbookViewId="0">
      <selection activeCell="D39" sqref="D39"/>
    </sheetView>
  </sheetViews>
  <sheetFormatPr defaultRowHeight="14.4" x14ac:dyDescent="0.3"/>
  <cols>
    <col min="1" max="1" width="20.44140625" bestFit="1" customWidth="1"/>
    <col min="2" max="5" width="9.5546875" bestFit="1" customWidth="1"/>
    <col min="6" max="13" width="10.77734375" bestFit="1" customWidth="1"/>
  </cols>
  <sheetData>
    <row r="1" spans="1:13" ht="15.6" x14ac:dyDescent="0.3">
      <c r="A1" s="6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21</v>
      </c>
      <c r="M1" s="8" t="s">
        <v>22</v>
      </c>
    </row>
    <row r="2" spans="1:13" x14ac:dyDescent="0.3">
      <c r="A2" s="9" t="s">
        <v>30</v>
      </c>
      <c r="B2" s="3">
        <f>'Income Statement'!B9</f>
        <v>700000</v>
      </c>
      <c r="C2" s="3">
        <f>'Income Statement'!C9</f>
        <v>735000</v>
      </c>
      <c r="D2" s="3">
        <f>'Income Statement'!D9</f>
        <v>771750</v>
      </c>
      <c r="E2" s="3">
        <f>'Income Statement'!E9</f>
        <v>810337.5</v>
      </c>
      <c r="F2" s="3">
        <f>'Income Statement'!F9</f>
        <v>850854.375</v>
      </c>
      <c r="G2" s="3">
        <f>'Income Statement'!G9</f>
        <v>893397.09375</v>
      </c>
      <c r="H2" s="3">
        <f>'Income Statement'!H9</f>
        <v>938066.94843750005</v>
      </c>
      <c r="I2" s="3">
        <f>'Income Statement'!I9</f>
        <v>984970.29585937504</v>
      </c>
      <c r="J2" s="3">
        <f>'Income Statement'!J9</f>
        <v>1034218.8106523438</v>
      </c>
      <c r="K2" s="3">
        <f>'Income Statement'!K9</f>
        <v>1085929.7511849611</v>
      </c>
      <c r="L2" s="3">
        <f>'Income Statement'!L9</f>
        <v>1140226.2387442093</v>
      </c>
      <c r="M2" s="10">
        <f>'Income Statement'!M9</f>
        <v>1197237.5506814197</v>
      </c>
    </row>
    <row r="3" spans="1:13" x14ac:dyDescent="0.3">
      <c r="A3" s="9" t="s">
        <v>27</v>
      </c>
      <c r="B3" s="3">
        <f>Assumptions!B6</f>
        <v>20000</v>
      </c>
      <c r="C3" s="3">
        <f>Assumptions!B6</f>
        <v>20000</v>
      </c>
      <c r="D3" s="3">
        <f>Assumptions!B6</f>
        <v>20000</v>
      </c>
      <c r="E3" s="3">
        <f>Assumptions!B6</f>
        <v>20000</v>
      </c>
      <c r="F3" s="3">
        <f>Assumptions!B6</f>
        <v>20000</v>
      </c>
      <c r="G3" s="3">
        <f>Assumptions!B6</f>
        <v>20000</v>
      </c>
      <c r="H3" s="3">
        <f>Assumptions!B6</f>
        <v>20000</v>
      </c>
      <c r="I3" s="3">
        <f>Assumptions!B6</f>
        <v>20000</v>
      </c>
      <c r="J3" s="3">
        <f>Assumptions!B6</f>
        <v>20000</v>
      </c>
      <c r="K3" s="3">
        <f>Assumptions!B6</f>
        <v>20000</v>
      </c>
      <c r="L3" s="3">
        <f>Assumptions!B6</f>
        <v>20000</v>
      </c>
      <c r="M3" s="10">
        <f>Assumptions!B6</f>
        <v>20000</v>
      </c>
    </row>
    <row r="4" spans="1:13" x14ac:dyDescent="0.3">
      <c r="A4" s="9" t="s">
        <v>31</v>
      </c>
      <c r="B4" s="3">
        <f>(('Income Statement'!B2/30)*30)</f>
        <v>1000000.0000000001</v>
      </c>
      <c r="C4" s="3">
        <f>(('Income Statement'!C2/30)*30)</f>
        <v>1050000</v>
      </c>
      <c r="D4" s="3">
        <f>(('Income Statement'!D2/30)*30)</f>
        <v>1102500</v>
      </c>
      <c r="E4" s="3">
        <f>(('Income Statement'!E2/30)*30)</f>
        <v>1157625</v>
      </c>
      <c r="F4" s="3">
        <f>(('Income Statement'!F2/30)*30)</f>
        <v>1215506.25</v>
      </c>
      <c r="G4" s="3">
        <f>(('Income Statement'!G2/30)*30)</f>
        <v>1276281.5625</v>
      </c>
      <c r="H4" s="3">
        <f>(('Income Statement'!H2/30)*30)</f>
        <v>1340095.640625</v>
      </c>
      <c r="I4" s="3">
        <f>(('Income Statement'!I2/30)*30)</f>
        <v>1407100.42265625</v>
      </c>
      <c r="J4" s="3">
        <f>(('Income Statement'!J2/30)*30)</f>
        <v>1477455.4437890626</v>
      </c>
      <c r="K4" s="3">
        <f>(('Income Statement'!K2/30)*30)</f>
        <v>1551328.2159785158</v>
      </c>
      <c r="L4" s="3">
        <f>(('Income Statement'!L2/30)*30)</f>
        <v>1628894.6267774417</v>
      </c>
      <c r="M4" s="10">
        <f>(('Income Statement'!M2/30)*30)</f>
        <v>1710339.3581163138</v>
      </c>
    </row>
    <row r="5" spans="1:13" x14ac:dyDescent="0.3">
      <c r="A5" s="9" t="s">
        <v>32</v>
      </c>
      <c r="B5" s="3">
        <f>(('Income Statement'!B3/30)*45)</f>
        <v>450000</v>
      </c>
      <c r="C5" s="3">
        <f>(('Income Statement'!C3/30)*45)</f>
        <v>472500</v>
      </c>
      <c r="D5" s="3">
        <f>(('Income Statement'!D3/30)*45)</f>
        <v>496125</v>
      </c>
      <c r="E5" s="3">
        <f>(('Income Statement'!E3/30)*45)</f>
        <v>520931.25</v>
      </c>
      <c r="F5" s="3">
        <f>(('Income Statement'!F3/30)*45)</f>
        <v>546977.8125</v>
      </c>
      <c r="G5" s="3">
        <f>(('Income Statement'!G3/30)*45)</f>
        <v>574326.703125</v>
      </c>
      <c r="H5" s="3">
        <f>(('Income Statement'!H3/30)*45)</f>
        <v>603043.03828125005</v>
      </c>
      <c r="I5" s="3">
        <f>(('Income Statement'!I3/30)*45)</f>
        <v>633195.19019531249</v>
      </c>
      <c r="J5" s="3">
        <f>(('Income Statement'!J3/30)*45)</f>
        <v>664854.94970507815</v>
      </c>
      <c r="K5" s="3">
        <f>(('Income Statement'!K3/30)*45)</f>
        <v>698097.69719033211</v>
      </c>
      <c r="L5" s="3">
        <f>(('Income Statement'!L3/30)*45)</f>
        <v>733002.58204984874</v>
      </c>
      <c r="M5" s="10">
        <f>(('Income Statement'!M3/30)*45)</f>
        <v>769652.71115234122</v>
      </c>
    </row>
    <row r="6" spans="1:13" ht="15" thickBot="1" x14ac:dyDescent="0.35">
      <c r="A6" s="11" t="s">
        <v>33</v>
      </c>
      <c r="B6" s="12">
        <f>SUM(B2+B3-B4+B5)</f>
        <v>169999.99999999988</v>
      </c>
      <c r="C6" s="12">
        <f t="shared" ref="C6:M6" si="0">SUM(C2+C3-C4+C5)</f>
        <v>177500</v>
      </c>
      <c r="D6" s="12">
        <f t="shared" si="0"/>
        <v>185375</v>
      </c>
      <c r="E6" s="12">
        <f t="shared" si="0"/>
        <v>193643.75</v>
      </c>
      <c r="F6" s="12">
        <f t="shared" si="0"/>
        <v>202325.9375</v>
      </c>
      <c r="G6" s="12">
        <f t="shared" si="0"/>
        <v>211442.234375</v>
      </c>
      <c r="H6" s="12">
        <f t="shared" si="0"/>
        <v>221014.34609375009</v>
      </c>
      <c r="I6" s="12">
        <f t="shared" si="0"/>
        <v>231065.06339843757</v>
      </c>
      <c r="J6" s="12">
        <f t="shared" si="0"/>
        <v>241618.31656835938</v>
      </c>
      <c r="K6" s="12">
        <f t="shared" si="0"/>
        <v>252699.23239677737</v>
      </c>
      <c r="L6" s="12">
        <f t="shared" si="0"/>
        <v>264334.19401661633</v>
      </c>
      <c r="M6" s="13">
        <f t="shared" si="0"/>
        <v>276550.90371744707</v>
      </c>
    </row>
    <row r="11" spans="1:13" x14ac:dyDescent="0.3">
      <c r="D11" s="1"/>
    </row>
    <row r="23" spans="8:8" x14ac:dyDescent="0.3">
      <c r="H23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zoomScale="130" zoomScaleNormal="130" workbookViewId="0">
      <selection activeCell="B2" sqref="B2"/>
    </sheetView>
  </sheetViews>
  <sheetFormatPr defaultRowHeight="14.4" x14ac:dyDescent="0.3"/>
  <cols>
    <col min="1" max="1" width="12.33203125" customWidth="1"/>
    <col min="2" max="2" width="12" bestFit="1" customWidth="1"/>
  </cols>
  <sheetData>
    <row r="1" spans="1:2" ht="15.6" x14ac:dyDescent="0.3">
      <c r="A1" s="5" t="s">
        <v>34</v>
      </c>
      <c r="B1" s="5" t="s">
        <v>35</v>
      </c>
    </row>
    <row r="2" spans="1:2" x14ac:dyDescent="0.3">
      <c r="A2" s="1" t="s">
        <v>36</v>
      </c>
      <c r="B2" s="3">
        <f>SUM('Cash Flow'!B6:M6)</f>
        <v>2627568.9780663876</v>
      </c>
    </row>
    <row r="3" spans="1:2" x14ac:dyDescent="0.3">
      <c r="A3" s="1" t="s">
        <v>37</v>
      </c>
      <c r="B3" s="3">
        <f>('Income Statement'!M2/30)*Assumptions!B8</f>
        <v>1710339.3581163138</v>
      </c>
    </row>
    <row r="4" spans="1:2" x14ac:dyDescent="0.3">
      <c r="A4" s="1" t="s">
        <v>38</v>
      </c>
      <c r="B4" s="3">
        <f>('Income Statement'!M3/30)*Assumptions!B9</f>
        <v>769652.71115234122</v>
      </c>
    </row>
    <row r="5" spans="1:2" x14ac:dyDescent="0.3">
      <c r="A5" s="1" t="s">
        <v>39</v>
      </c>
      <c r="B5" s="3">
        <f>SUM(B2+B3)-B4</f>
        <v>3568255.6250303602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18C55-E154-4F12-93EA-F653000D07E1}">
  <dimension ref="A1:D4"/>
  <sheetViews>
    <sheetView workbookViewId="0">
      <selection activeCell="G7" sqref="G7"/>
    </sheetView>
  </sheetViews>
  <sheetFormatPr defaultRowHeight="14.4" x14ac:dyDescent="0.3"/>
  <cols>
    <col min="1" max="3" width="17.33203125" bestFit="1" customWidth="1"/>
    <col min="4" max="4" width="15.5546875" bestFit="1" customWidth="1"/>
  </cols>
  <sheetData>
    <row r="1" spans="1:4" ht="15.6" x14ac:dyDescent="0.3">
      <c r="A1" s="22" t="s">
        <v>41</v>
      </c>
      <c r="B1" s="22" t="s">
        <v>42</v>
      </c>
      <c r="C1" s="22" t="s">
        <v>45</v>
      </c>
      <c r="D1" s="22" t="s">
        <v>43</v>
      </c>
    </row>
    <row r="2" spans="1:4" ht="15.6" x14ac:dyDescent="0.3">
      <c r="A2" s="23">
        <f>SUM('Income Statement'!B2:M2)</f>
        <v>15917126.520442585</v>
      </c>
      <c r="B2" s="23">
        <f>SUM('Income Statement'!B9:M9)</f>
        <v>11141988.564309807</v>
      </c>
      <c r="C2" s="2">
        <f>('Income Statement'!N4/'Income Statement'!N2)</f>
        <v>0.25</v>
      </c>
      <c r="D2" s="23">
        <f>SUM('Cash Flow'!B6:M6)</f>
        <v>2627568.9780663876</v>
      </c>
    </row>
    <row r="4" spans="1:4" x14ac:dyDescent="0.3">
      <c r="A4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Income Statement</vt:lpstr>
      <vt:lpstr>Cash Flow</vt:lpstr>
      <vt:lpstr>Balance Sheet</vt:lpstr>
      <vt:lpstr>Annual 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ishan shriwas</cp:lastModifiedBy>
  <dcterms:created xsi:type="dcterms:W3CDTF">2026-01-10T18:26:30Z</dcterms:created>
  <dcterms:modified xsi:type="dcterms:W3CDTF">2026-01-11T12:01:58Z</dcterms:modified>
</cp:coreProperties>
</file>